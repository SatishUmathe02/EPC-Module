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pacintl.sharepoint.com/sites/Inditex/Shared Documents/General/EPC_Creation/EPC calculation/"/>
    </mc:Choice>
  </mc:AlternateContent>
  <xr:revisionPtr revIDLastSave="42" documentId="13_ncr:1_{FAAA7683-FCB3-43E0-9D09-3F5F9B4A9211}" xr6:coauthVersionLast="45" xr6:coauthVersionMax="45" xr10:uidLastSave="{92DE6EA3-4DF5-426C-BE55-CEC3649E355A}"/>
  <bookViews>
    <workbookView xWindow="-120" yWindow="-120" windowWidth="29040" windowHeight="15840" xr2:uid="{00000000-000D-0000-FFFF-FFFF00000000}"/>
  </bookViews>
  <sheets>
    <sheet name="VBA" sheetId="3" r:id="rId1"/>
    <sheet name="Aux" sheetId="2" r:id="rId2"/>
  </sheets>
  <functionGroups builtInGroupCount="19"/>
  <definedNames>
    <definedName name="_ComercialBrand">Aux!$B$4:$C$14</definedName>
    <definedName name="_ProductType">Aux!$H$4:$I$7</definedName>
    <definedName name="_ProviderID">Aux!$B$19:$C$33</definedName>
    <definedName name="_Section">Aux!$E$4:$F$6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2" i="3" l="1"/>
  <c r="L39" i="3" s="1"/>
  <c r="C22" i="3"/>
  <c r="K22" i="3"/>
  <c r="S22" i="3"/>
  <c r="AA22" i="3"/>
  <c r="D22" i="3"/>
  <c r="L22" i="3"/>
  <c r="T22" i="3"/>
  <c r="AB22" i="3"/>
  <c r="R22" i="3"/>
  <c r="E22" i="3"/>
  <c r="M22" i="3"/>
  <c r="U22" i="3"/>
  <c r="AC22" i="3"/>
  <c r="AF22" i="3"/>
  <c r="F22" i="3"/>
  <c r="N22" i="3"/>
  <c r="V22" i="3"/>
  <c r="AD22" i="3"/>
  <c r="P22" i="3"/>
  <c r="G22" i="3"/>
  <c r="O22" i="3"/>
  <c r="W22" i="3"/>
  <c r="AE22" i="3"/>
  <c r="X22" i="3"/>
  <c r="H22" i="3"/>
  <c r="I22" i="3"/>
  <c r="Q22" i="3"/>
  <c r="Y22" i="3"/>
  <c r="AG22" i="3"/>
  <c r="J22" i="3"/>
  <c r="Z22" i="3"/>
  <c r="B22" i="3"/>
  <c r="W11" i="3"/>
  <c r="AE11" i="3"/>
  <c r="AM11" i="3"/>
  <c r="AU11" i="3"/>
  <c r="BC11" i="3"/>
  <c r="X11" i="3"/>
  <c r="AF11" i="3"/>
  <c r="AN11" i="3"/>
  <c r="AV11" i="3"/>
  <c r="BD11" i="3"/>
  <c r="U11" i="3"/>
  <c r="AS11" i="3"/>
  <c r="AL11" i="3"/>
  <c r="BB11" i="3"/>
  <c r="Y11" i="3"/>
  <c r="AG11" i="3"/>
  <c r="AO11" i="3"/>
  <c r="AW11" i="3"/>
  <c r="BE11" i="3"/>
  <c r="AI11" i="3"/>
  <c r="AY11" i="3"/>
  <c r="AB11" i="3"/>
  <c r="AR11" i="3"/>
  <c r="AK11" i="3"/>
  <c r="V11" i="3"/>
  <c r="AT11" i="3"/>
  <c r="Z11" i="3"/>
  <c r="AH11" i="3"/>
  <c r="AP11" i="3"/>
  <c r="AX11" i="3"/>
  <c r="BF11" i="3"/>
  <c r="AA11" i="3"/>
  <c r="AQ11" i="3"/>
  <c r="T11" i="3"/>
  <c r="AJ11" i="3"/>
  <c r="AZ11" i="3"/>
  <c r="AC11" i="3"/>
  <c r="BA11" i="3"/>
  <c r="AD11" i="3"/>
  <c r="S11" i="3"/>
  <c r="BM11" i="3" l="1"/>
  <c r="BL11" i="3"/>
  <c r="BK11" i="3"/>
  <c r="BJ11" i="3"/>
  <c r="BI11" i="3"/>
  <c r="BH11" i="3"/>
  <c r="R11" i="3"/>
  <c r="R12" i="3" s="1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BJ22" i="3"/>
  <c r="BB22" i="3"/>
  <c r="AT22" i="3"/>
  <c r="BC22" i="3"/>
  <c r="BI22" i="3"/>
  <c r="BA22" i="3"/>
  <c r="AS22" i="3"/>
  <c r="BH22" i="3"/>
  <c r="AZ22" i="3"/>
  <c r="AU22" i="3"/>
  <c r="BG22" i="3"/>
  <c r="AY22" i="3"/>
  <c r="BK22" i="3"/>
  <c r="BF22" i="3"/>
  <c r="AX22" i="3"/>
  <c r="BG11" i="3"/>
  <c r="AV22" i="3"/>
  <c r="BM22" i="3"/>
  <c r="BE22" i="3"/>
  <c r="AW22" i="3"/>
  <c r="BL22" i="3"/>
  <c r="BD22" i="3"/>
  <c r="C33" i="3"/>
  <c r="AH21" i="3"/>
  <c r="AH22" i="3"/>
  <c r="AR22" i="3"/>
  <c r="AK22" i="3"/>
  <c r="L40" i="3" l="1"/>
  <c r="J12" i="3"/>
  <c r="B12" i="3"/>
  <c r="Z12" i="3"/>
  <c r="AH12" i="3"/>
  <c r="AP12" i="3"/>
  <c r="AX12" i="3"/>
  <c r="BF12" i="3"/>
  <c r="B23" i="3"/>
  <c r="J23" i="3"/>
  <c r="R23" i="3"/>
  <c r="Z23" i="3"/>
  <c r="AX23" i="3"/>
  <c r="BF23" i="3"/>
  <c r="AP22" i="3"/>
  <c r="AI22" i="3"/>
  <c r="AQ22" i="3"/>
  <c r="AJ22" i="3"/>
  <c r="AL22" i="3"/>
  <c r="AM22" i="3"/>
  <c r="AN22" i="3"/>
  <c r="AO22" i="3"/>
  <c r="B27" i="3" l="1"/>
  <c r="B28" i="3" s="1"/>
  <c r="AH23" i="3"/>
  <c r="AP23" i="3"/>
  <c r="B29" i="3"/>
  <c r="L38" i="3" l="1"/>
  <c r="B30" i="3"/>
</calcChain>
</file>

<file path=xl/sharedStrings.xml><?xml version="1.0" encoding="utf-8"?>
<sst xmlns="http://schemas.openxmlformats.org/spreadsheetml/2006/main" count="110" uniqueCount="80">
  <si>
    <t>8 bits</t>
  </si>
  <si>
    <t>Comercial Brand</t>
  </si>
  <si>
    <t>Section</t>
  </si>
  <si>
    <t>MCCT</t>
  </si>
  <si>
    <t>Flag Grabacion</t>
  </si>
  <si>
    <t>Inditex Area</t>
  </si>
  <si>
    <t>Provider  Area</t>
  </si>
  <si>
    <t>Provider ID</t>
  </si>
  <si>
    <t>bit nº</t>
  </si>
  <si>
    <t>Field Name</t>
  </si>
  <si>
    <t>8 bit Groups</t>
  </si>
  <si>
    <t>Area</t>
  </si>
  <si>
    <t>Name</t>
  </si>
  <si>
    <t>Value</t>
  </si>
  <si>
    <t>Zara</t>
  </si>
  <si>
    <t>Pull&amp;Bear</t>
  </si>
  <si>
    <t>Bershka</t>
  </si>
  <si>
    <t>Stradivarius</t>
  </si>
  <si>
    <t>Oysho</t>
  </si>
  <si>
    <t>Lefties</t>
  </si>
  <si>
    <t>MassimoDutti</t>
  </si>
  <si>
    <t>Zara Home</t>
  </si>
  <si>
    <t>Zara Sur</t>
  </si>
  <si>
    <t>Uterque</t>
  </si>
  <si>
    <t>TEST</t>
  </si>
  <si>
    <t>Women</t>
  </si>
  <si>
    <t>Man</t>
  </si>
  <si>
    <t>Kids</t>
  </si>
  <si>
    <t>Product Type</t>
  </si>
  <si>
    <t>Clothes</t>
  </si>
  <si>
    <t>Shoes</t>
  </si>
  <si>
    <t>Lingerine</t>
  </si>
  <si>
    <t>Perfumery</t>
  </si>
  <si>
    <t>demo dec</t>
  </si>
  <si>
    <t>Tyco</t>
  </si>
  <si>
    <t>SML</t>
  </si>
  <si>
    <t>Avery</t>
  </si>
  <si>
    <t>JLP</t>
  </si>
  <si>
    <t>INDET</t>
  </si>
  <si>
    <t>BAOSHEN</t>
  </si>
  <si>
    <t>UNITER</t>
  </si>
  <si>
    <t>CheckPoint</t>
  </si>
  <si>
    <t>SOTEK</t>
  </si>
  <si>
    <t>UNILABEL</t>
  </si>
  <si>
    <t>EyeBerry</t>
  </si>
  <si>
    <t>HappyPunt</t>
  </si>
  <si>
    <t>Etiket</t>
  </si>
  <si>
    <t>Others</t>
  </si>
  <si>
    <t>Select from ComboBox</t>
  </si>
  <si>
    <t>Fixed  Value</t>
  </si>
  <si>
    <t>VariableInput</t>
  </si>
  <si>
    <t>VariableAutoGenerated</t>
  </si>
  <si>
    <t>bits</t>
  </si>
  <si>
    <t xml:space="preserve">Version </t>
  </si>
  <si>
    <t xml:space="preserve">Comercial Brand </t>
  </si>
  <si>
    <t xml:space="preserve">ProductType </t>
  </si>
  <si>
    <t xml:space="preserve">Acive flag </t>
  </si>
  <si>
    <t>BinaryJoin</t>
  </si>
  <si>
    <t>Len</t>
  </si>
  <si>
    <t>Parsed to Bin</t>
  </si>
  <si>
    <t>Parsed to HEX</t>
  </si>
  <si>
    <t>BinaryJoin to HEX</t>
  </si>
  <si>
    <t>Join ParsedToHex 2 hex</t>
  </si>
  <si>
    <t>ComercialBrand:</t>
  </si>
  <si>
    <t>Section:</t>
  </si>
  <si>
    <t>ProductType:</t>
  </si>
  <si>
    <t>ProviderID:</t>
  </si>
  <si>
    <t>Serial Number</t>
  </si>
  <si>
    <t>Creation Date</t>
  </si>
  <si>
    <t xml:space="preserve">Counter </t>
  </si>
  <si>
    <t xml:space="preserve">Version Copy </t>
  </si>
  <si>
    <t xml:space="preserve">Provider ID </t>
  </si>
  <si>
    <t xml:space="preserve">Free </t>
  </si>
  <si>
    <t>FK</t>
  </si>
  <si>
    <t>TT</t>
  </si>
  <si>
    <t>EPC</t>
  </si>
  <si>
    <t>UserMemory</t>
  </si>
  <si>
    <t>AccesPassword</t>
  </si>
  <si>
    <t>510000110742</t>
  </si>
  <si>
    <t>r-Pac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</si>
</sst>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0" fillId="0" borderId="0" xfId="0" applyProtection="1"/>
    <xf numFmtId="0" fontId="0" fillId="3" borderId="0" xfId="0" applyFill="1" applyProtection="1"/>
    <xf numFmtId="0" fontId="0" fillId="2" borderId="0" xfId="0" applyFill="1" applyProtection="1"/>
    <xf numFmtId="0" fontId="0" fillId="4" borderId="0" xfId="0" applyFill="1" applyProtection="1"/>
    <xf numFmtId="0" fontId="0" fillId="5" borderId="0" xfId="0" applyFill="1" applyProtection="1"/>
    <xf numFmtId="0" fontId="0" fillId="0" borderId="0" xfId="0" applyAlignment="1" applyProtection="1">
      <alignment horizontal="left"/>
    </xf>
    <xf numFmtId="0" fontId="0" fillId="0" borderId="1" xfId="0" applyBorder="1" applyProtection="1"/>
    <xf numFmtId="0" fontId="3" fillId="0" borderId="0" xfId="0" applyFont="1" applyAlignment="1" applyProtection="1">
      <alignment horizontal="left"/>
    </xf>
    <xf numFmtId="0" fontId="0" fillId="0" borderId="0" xfId="0" applyAlignment="1" applyProtection="1"/>
    <xf numFmtId="0" fontId="2" fillId="0" borderId="0" xfId="0" applyFont="1" applyAlignment="1" applyProtection="1"/>
    <xf numFmtId="0" fontId="0" fillId="0" borderId="0" xfId="0" applyFill="1" applyBorder="1" applyAlignment="1" applyProtection="1"/>
    <xf numFmtId="0" fontId="0" fillId="0" borderId="1" xfId="0" applyBorder="1" applyAlignment="1" applyProtection="1">
      <alignment horizontal="center"/>
    </xf>
    <xf numFmtId="0" fontId="3" fillId="0" borderId="0" xfId="0" applyFont="1" applyAlignment="1" applyProtection="1"/>
    <xf numFmtId="0" fontId="3" fillId="0" borderId="0" xfId="0" applyFont="1" applyFill="1" applyBorder="1" applyAlignment="1" applyProtection="1"/>
    <xf numFmtId="0" fontId="4" fillId="0" borderId="0" xfId="0" applyFont="1" applyProtection="1"/>
    <xf numFmtId="0" fontId="0" fillId="0" borderId="0" xfId="0" applyNumberFormat="1" applyProtection="1"/>
    <xf numFmtId="0" fontId="5" fillId="0" borderId="0" xfId="0" applyFont="1" applyProtection="1"/>
    <xf numFmtId="0" fontId="0" fillId="3" borderId="1" xfId="0" applyFill="1" applyBorder="1" applyProtection="1"/>
    <xf numFmtId="49" fontId="0" fillId="0" borderId="0" xfId="0" applyNumberFormat="1" applyProtection="1"/>
    <xf numFmtId="14" fontId="0" fillId="0" borderId="0" xfId="0" applyNumberFormat="1" applyProtection="1"/>
    <xf numFmtId="0" fontId="0" fillId="3" borderId="1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3" borderId="2" xfId="0" applyFill="1" applyBorder="1" applyAlignment="1" applyProtection="1">
      <alignment horizontal="center"/>
    </xf>
    <xf numFmtId="0" fontId="0" fillId="3" borderId="4" xfId="0" applyFill="1" applyBorder="1" applyAlignment="1" applyProtection="1">
      <alignment horizontal="center"/>
    </xf>
    <xf numFmtId="0" fontId="0" fillId="3" borderId="3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1" fontId="0" fillId="2" borderId="2" xfId="0" applyNumberFormat="1" applyFill="1" applyBorder="1" applyAlignment="1" applyProtection="1">
      <alignment horizontal="center"/>
      <protection locked="0"/>
    </xf>
    <xf numFmtId="1" fontId="0" fillId="2" borderId="4" xfId="0" applyNumberFormat="1" applyFill="1" applyBorder="1" applyAlignment="1" applyProtection="1">
      <alignment horizontal="center"/>
      <protection locked="0"/>
    </xf>
    <xf numFmtId="1" fontId="0" fillId="2" borderId="3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2" fontId="0" fillId="4" borderId="2" xfId="0" quotePrefix="1" applyNumberFormat="1" applyFill="1" applyBorder="1" applyAlignment="1" applyProtection="1">
      <alignment horizontal="center"/>
      <protection locked="0"/>
    </xf>
    <xf numFmtId="2" fontId="0" fillId="4" borderId="4" xfId="0" applyNumberFormat="1" applyFill="1" applyBorder="1" applyAlignment="1" applyProtection="1">
      <alignment horizontal="center"/>
      <protection locked="0"/>
    </xf>
    <xf numFmtId="2" fontId="0" fillId="4" borderId="3" xfId="0" applyNumberFormat="1" applyFill="1" applyBorder="1" applyAlignment="1" applyProtection="1">
      <alignment horizontal="center"/>
      <protection locked="0"/>
    </xf>
    <xf numFmtId="49" fontId="0" fillId="5" borderId="2" xfId="0" applyNumberFormat="1" applyFill="1" applyBorder="1" applyAlignment="1" applyProtection="1">
      <alignment horizontal="center"/>
    </xf>
    <xf numFmtId="49" fontId="0" fillId="5" borderId="4" xfId="0" applyNumberFormat="1" applyFill="1" applyBorder="1" applyAlignment="1" applyProtection="1">
      <alignment horizontal="center"/>
    </xf>
    <xf numFmtId="49" fontId="0" fillId="5" borderId="3" xfId="0" applyNumberForma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8</xdr:col>
          <xdr:colOff>228600</xdr:colOff>
          <xdr:row>3</xdr:row>
          <xdr:rowOff>95250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0</xdr:rowOff>
        </xdr:from>
        <xdr:to>
          <xdr:col>13</xdr:col>
          <xdr:colOff>342900</xdr:colOff>
          <xdr:row>3</xdr:row>
          <xdr:rowOff>95250</xdr:rowOff>
        </xdr:to>
        <xdr:sp macro="" textlink="">
          <xdr:nvSpPr>
            <xdr:cNvPr id="2050" name="ComboBox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</xdr:row>
          <xdr:rowOff>0</xdr:rowOff>
        </xdr:from>
        <xdr:to>
          <xdr:col>21</xdr:col>
          <xdr:colOff>133350</xdr:colOff>
          <xdr:row>3</xdr:row>
          <xdr:rowOff>95250</xdr:rowOff>
        </xdr:to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2</xdr:row>
          <xdr:rowOff>0</xdr:rowOff>
        </xdr:from>
        <xdr:to>
          <xdr:col>29</xdr:col>
          <xdr:colOff>95250</xdr:colOff>
          <xdr:row>3</xdr:row>
          <xdr:rowOff>66675</xdr:rowOff>
        </xdr:to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T44"/>
  <sheetViews>
    <sheetView tabSelected="1" zoomScale="68" zoomScaleNormal="70" workbookViewId="0">
      <selection activeCell="AE3" sqref="AE3"/>
    </sheetView>
  </sheetViews>
  <sheetFormatPr defaultRowHeight="15" x14ac:dyDescent="0.25"/>
  <cols>
    <col min="2" max="65" width="5.7109375" customWidth="1"/>
  </cols>
  <sheetData>
    <row r="2" spans="1:124" x14ac:dyDescent="0.25">
      <c r="C2" s="7"/>
      <c r="D2" s="6" t="s">
        <v>49</v>
      </c>
      <c r="G2" s="8"/>
      <c r="H2" s="6" t="s">
        <v>48</v>
      </c>
      <c r="N2" s="9"/>
      <c r="O2" s="6" t="s">
        <v>50</v>
      </c>
      <c r="S2" s="10"/>
      <c r="T2" s="6" t="s">
        <v>51</v>
      </c>
    </row>
    <row r="3" spans="1:124" x14ac:dyDescent="0.25">
      <c r="B3" s="6" t="s">
        <v>63</v>
      </c>
      <c r="J3" s="6" t="s">
        <v>64</v>
      </c>
      <c r="O3" s="6" t="s">
        <v>65</v>
      </c>
      <c r="W3" s="6" t="s">
        <v>66</v>
      </c>
    </row>
    <row r="5" spans="1:124" x14ac:dyDescent="0.25">
      <c r="A5" s="11" t="s">
        <v>11</v>
      </c>
      <c r="B5" s="27" t="s">
        <v>5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9"/>
      <c r="CF5" s="6">
        <v>0</v>
      </c>
      <c r="CG5" s="6">
        <v>1</v>
      </c>
      <c r="CH5" s="6">
        <v>2</v>
      </c>
      <c r="CI5" s="6">
        <v>3</v>
      </c>
      <c r="CJ5" s="6">
        <v>4</v>
      </c>
      <c r="CK5" s="6">
        <v>5</v>
      </c>
      <c r="CL5" s="6">
        <v>6</v>
      </c>
      <c r="CM5" s="6">
        <v>7</v>
      </c>
      <c r="CN5" s="6">
        <v>8</v>
      </c>
      <c r="CO5" s="6">
        <v>9</v>
      </c>
      <c r="CP5" s="6">
        <v>10</v>
      </c>
      <c r="CQ5" s="6">
        <v>11</v>
      </c>
      <c r="CR5" s="6">
        <v>12</v>
      </c>
      <c r="CS5" s="6">
        <v>13</v>
      </c>
      <c r="CT5" s="6">
        <v>14</v>
      </c>
      <c r="CU5" s="6">
        <v>15</v>
      </c>
      <c r="CV5" s="6">
        <v>16</v>
      </c>
      <c r="CW5" s="6">
        <v>17</v>
      </c>
      <c r="CX5" s="6">
        <v>18</v>
      </c>
      <c r="CY5" s="6">
        <v>19</v>
      </c>
      <c r="CZ5" s="6">
        <v>20</v>
      </c>
      <c r="DA5" s="6">
        <v>21</v>
      </c>
      <c r="DB5" s="6">
        <v>22</v>
      </c>
      <c r="DC5" s="6">
        <v>23</v>
      </c>
      <c r="DD5" s="6">
        <v>24</v>
      </c>
      <c r="DE5" s="6">
        <v>25</v>
      </c>
      <c r="DF5" s="6">
        <v>26</v>
      </c>
      <c r="DG5" s="6">
        <v>27</v>
      </c>
      <c r="DH5" s="6">
        <v>28</v>
      </c>
      <c r="DI5" s="6">
        <v>29</v>
      </c>
      <c r="DJ5" s="6">
        <v>30</v>
      </c>
      <c r="DK5" s="6">
        <v>31</v>
      </c>
      <c r="DL5" s="6">
        <v>32</v>
      </c>
      <c r="DM5" s="6">
        <v>33</v>
      </c>
      <c r="DN5" s="6">
        <v>34</v>
      </c>
      <c r="DO5" s="6">
        <v>35</v>
      </c>
      <c r="DP5" s="6">
        <v>36</v>
      </c>
      <c r="DQ5" s="6">
        <v>37</v>
      </c>
      <c r="DR5" s="6">
        <v>38</v>
      </c>
      <c r="DS5" s="6">
        <v>39</v>
      </c>
      <c r="DT5" s="6">
        <v>40</v>
      </c>
    </row>
    <row r="6" spans="1:124" x14ac:dyDescent="0.25">
      <c r="A6" s="11" t="s">
        <v>10</v>
      </c>
      <c r="B6" s="27" t="s">
        <v>0</v>
      </c>
      <c r="C6" s="28"/>
      <c r="D6" s="28"/>
      <c r="E6" s="28"/>
      <c r="F6" s="28"/>
      <c r="G6" s="28"/>
      <c r="H6" s="28"/>
      <c r="I6" s="29"/>
      <c r="J6" s="27" t="s">
        <v>0</v>
      </c>
      <c r="K6" s="28"/>
      <c r="L6" s="28"/>
      <c r="M6" s="28"/>
      <c r="N6" s="28"/>
      <c r="O6" s="28"/>
      <c r="P6" s="28"/>
      <c r="Q6" s="29"/>
      <c r="R6" s="27" t="s">
        <v>0</v>
      </c>
      <c r="S6" s="28"/>
      <c r="T6" s="28"/>
      <c r="U6" s="28"/>
      <c r="V6" s="28"/>
      <c r="W6" s="28"/>
      <c r="X6" s="28"/>
      <c r="Y6" s="29"/>
      <c r="Z6" s="27" t="s">
        <v>0</v>
      </c>
      <c r="AA6" s="28"/>
      <c r="AB6" s="28"/>
      <c r="AC6" s="28"/>
      <c r="AD6" s="28"/>
      <c r="AE6" s="28"/>
      <c r="AF6" s="28"/>
      <c r="AG6" s="29"/>
      <c r="AH6" s="27" t="s">
        <v>0</v>
      </c>
      <c r="AI6" s="28"/>
      <c r="AJ6" s="28"/>
      <c r="AK6" s="28"/>
      <c r="AL6" s="28"/>
      <c r="AM6" s="28"/>
      <c r="AN6" s="28"/>
      <c r="AO6" s="29"/>
      <c r="AP6" s="27" t="s">
        <v>0</v>
      </c>
      <c r="AQ6" s="28"/>
      <c r="AR6" s="28"/>
      <c r="AS6" s="28"/>
      <c r="AT6" s="28"/>
      <c r="AU6" s="28"/>
      <c r="AV6" s="28"/>
      <c r="AW6" s="29"/>
      <c r="AX6" s="27" t="s">
        <v>0</v>
      </c>
      <c r="AY6" s="28"/>
      <c r="AZ6" s="28"/>
      <c r="BA6" s="28"/>
      <c r="BB6" s="28"/>
      <c r="BC6" s="28"/>
      <c r="BD6" s="28"/>
      <c r="BE6" s="29"/>
      <c r="BF6" s="27" t="s">
        <v>0</v>
      </c>
      <c r="BG6" s="28"/>
      <c r="BH6" s="28"/>
      <c r="BI6" s="28"/>
      <c r="BJ6" s="28"/>
      <c r="BK6" s="28"/>
      <c r="BL6" s="28"/>
      <c r="BM6" s="29"/>
    </row>
    <row r="7" spans="1:124" x14ac:dyDescent="0.25">
      <c r="A7" s="11" t="s">
        <v>9</v>
      </c>
      <c r="B7" s="27" t="s">
        <v>53</v>
      </c>
      <c r="C7" s="28"/>
      <c r="D7" s="28"/>
      <c r="E7" s="28"/>
      <c r="F7" s="29"/>
      <c r="G7" s="27" t="s">
        <v>54</v>
      </c>
      <c r="H7" s="28"/>
      <c r="I7" s="28"/>
      <c r="J7" s="28"/>
      <c r="K7" s="28"/>
      <c r="L7" s="29"/>
      <c r="M7" s="27" t="s">
        <v>2</v>
      </c>
      <c r="N7" s="29"/>
      <c r="O7" s="27" t="s">
        <v>55</v>
      </c>
      <c r="P7" s="28"/>
      <c r="Q7" s="28"/>
      <c r="R7" s="29"/>
      <c r="S7" s="27" t="s">
        <v>3</v>
      </c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9"/>
      <c r="BG7" s="12" t="s">
        <v>56</v>
      </c>
      <c r="BH7" s="27" t="s">
        <v>4</v>
      </c>
      <c r="BI7" s="28"/>
      <c r="BJ7" s="28"/>
      <c r="BK7" s="28"/>
      <c r="BL7" s="28"/>
      <c r="BM7" s="29"/>
    </row>
    <row r="8" spans="1:124" x14ac:dyDescent="0.25">
      <c r="A8" s="11" t="s">
        <v>52</v>
      </c>
      <c r="B8" s="27">
        <v>5</v>
      </c>
      <c r="C8" s="28"/>
      <c r="D8" s="28"/>
      <c r="E8" s="28"/>
      <c r="F8" s="29"/>
      <c r="G8" s="27">
        <v>6</v>
      </c>
      <c r="H8" s="28"/>
      <c r="I8" s="28"/>
      <c r="J8" s="28"/>
      <c r="K8" s="28"/>
      <c r="L8" s="29"/>
      <c r="M8" s="27">
        <v>2</v>
      </c>
      <c r="N8" s="29"/>
      <c r="O8" s="27">
        <v>4</v>
      </c>
      <c r="P8" s="28"/>
      <c r="Q8" s="28"/>
      <c r="R8" s="29"/>
      <c r="S8" s="27">
        <v>40</v>
      </c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9"/>
      <c r="BG8" s="17">
        <v>1</v>
      </c>
      <c r="BH8" s="27">
        <v>6</v>
      </c>
      <c r="BI8" s="28"/>
      <c r="BJ8" s="28"/>
      <c r="BK8" s="28"/>
      <c r="BL8" s="28"/>
      <c r="BM8" s="29"/>
    </row>
    <row r="9" spans="1:124" x14ac:dyDescent="0.25">
      <c r="A9" s="11" t="s">
        <v>8</v>
      </c>
      <c r="B9" s="17">
        <v>1</v>
      </c>
      <c r="C9" s="17">
        <v>2</v>
      </c>
      <c r="D9" s="17">
        <v>3</v>
      </c>
      <c r="E9" s="17">
        <v>4</v>
      </c>
      <c r="F9" s="17">
        <v>5</v>
      </c>
      <c r="G9" s="17">
        <v>6</v>
      </c>
      <c r="H9" s="17">
        <v>7</v>
      </c>
      <c r="I9" s="17">
        <v>8</v>
      </c>
      <c r="J9" s="17">
        <v>9</v>
      </c>
      <c r="K9" s="17">
        <v>10</v>
      </c>
      <c r="L9" s="17">
        <v>11</v>
      </c>
      <c r="M9" s="17">
        <v>12</v>
      </c>
      <c r="N9" s="17">
        <v>13</v>
      </c>
      <c r="O9" s="17">
        <v>14</v>
      </c>
      <c r="P9" s="17">
        <v>15</v>
      </c>
      <c r="Q9" s="17">
        <v>16</v>
      </c>
      <c r="R9" s="17">
        <v>17</v>
      </c>
      <c r="S9" s="17">
        <v>18</v>
      </c>
      <c r="T9" s="17">
        <v>19</v>
      </c>
      <c r="U9" s="17">
        <v>20</v>
      </c>
      <c r="V9" s="17">
        <v>21</v>
      </c>
      <c r="W9" s="17">
        <v>22</v>
      </c>
      <c r="X9" s="17">
        <v>23</v>
      </c>
      <c r="Y9" s="17">
        <v>24</v>
      </c>
      <c r="Z9" s="17">
        <v>25</v>
      </c>
      <c r="AA9" s="17">
        <v>26</v>
      </c>
      <c r="AB9" s="17">
        <v>27</v>
      </c>
      <c r="AC9" s="17">
        <v>28</v>
      </c>
      <c r="AD9" s="17">
        <v>29</v>
      </c>
      <c r="AE9" s="17">
        <v>30</v>
      </c>
      <c r="AF9" s="17">
        <v>31</v>
      </c>
      <c r="AG9" s="17">
        <v>32</v>
      </c>
      <c r="AH9" s="17">
        <v>33</v>
      </c>
      <c r="AI9" s="17">
        <v>34</v>
      </c>
      <c r="AJ9" s="17">
        <v>35</v>
      </c>
      <c r="AK9" s="17">
        <v>36</v>
      </c>
      <c r="AL9" s="17">
        <v>37</v>
      </c>
      <c r="AM9" s="17">
        <v>38</v>
      </c>
      <c r="AN9" s="17">
        <v>39</v>
      </c>
      <c r="AO9" s="17">
        <v>40</v>
      </c>
      <c r="AP9" s="17">
        <v>41</v>
      </c>
      <c r="AQ9" s="17">
        <v>42</v>
      </c>
      <c r="AR9" s="17">
        <v>43</v>
      </c>
      <c r="AS9" s="17">
        <v>44</v>
      </c>
      <c r="AT9" s="17">
        <v>45</v>
      </c>
      <c r="AU9" s="17">
        <v>46</v>
      </c>
      <c r="AV9" s="17">
        <v>47</v>
      </c>
      <c r="AW9" s="17">
        <v>48</v>
      </c>
      <c r="AX9" s="17">
        <v>49</v>
      </c>
      <c r="AY9" s="17">
        <v>50</v>
      </c>
      <c r="AZ9" s="17">
        <v>51</v>
      </c>
      <c r="BA9" s="17">
        <v>52</v>
      </c>
      <c r="BB9" s="17">
        <v>53</v>
      </c>
      <c r="BC9" s="17">
        <v>54</v>
      </c>
      <c r="BD9" s="17">
        <v>55</v>
      </c>
      <c r="BE9" s="17">
        <v>56</v>
      </c>
      <c r="BF9" s="17">
        <v>57</v>
      </c>
      <c r="BG9" s="17">
        <v>58</v>
      </c>
      <c r="BH9" s="17">
        <v>59</v>
      </c>
      <c r="BI9" s="17">
        <v>60</v>
      </c>
      <c r="BJ9" s="17">
        <v>61</v>
      </c>
      <c r="BK9" s="17">
        <v>62</v>
      </c>
      <c r="BL9" s="17">
        <v>63</v>
      </c>
      <c r="BM9" s="17">
        <v>64</v>
      </c>
    </row>
    <row r="10" spans="1:124" x14ac:dyDescent="0.25">
      <c r="A10" s="13" t="s">
        <v>33</v>
      </c>
      <c r="B10" s="30">
        <v>1</v>
      </c>
      <c r="C10" s="31"/>
      <c r="D10" s="31"/>
      <c r="E10" s="31"/>
      <c r="F10" s="32"/>
      <c r="G10" s="36">
        <v>1</v>
      </c>
      <c r="H10" s="37"/>
      <c r="I10" s="37"/>
      <c r="J10" s="37"/>
      <c r="K10" s="37"/>
      <c r="L10" s="38"/>
      <c r="M10" s="39">
        <v>3</v>
      </c>
      <c r="N10" s="40"/>
      <c r="O10" s="39">
        <v>1</v>
      </c>
      <c r="P10" s="41"/>
      <c r="Q10" s="41"/>
      <c r="R10" s="40"/>
      <c r="S10" s="42" t="s">
        <v>78</v>
      </c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4"/>
      <c r="BG10" s="26">
        <v>1</v>
      </c>
      <c r="BH10" s="30">
        <v>0</v>
      </c>
      <c r="BI10" s="31"/>
      <c r="BJ10" s="31"/>
      <c r="BK10" s="31"/>
      <c r="BL10" s="31"/>
      <c r="BM10" s="32"/>
    </row>
    <row r="11" spans="1:124" x14ac:dyDescent="0.25">
      <c r="A11" s="13" t="s">
        <v>59</v>
      </c>
      <c r="B11" s="6" t="str">
        <f>MID(DEC2BIN($B$10,$B$8),CG$5,$B$9)</f>
        <v>0</v>
      </c>
      <c r="C11" s="6" t="str">
        <f t="shared" ref="C11:F11" si="0">MID(DEC2BIN($B$10,$B$8),CH$5,$B$9)</f>
        <v>0</v>
      </c>
      <c r="D11" s="6" t="str">
        <f t="shared" si="0"/>
        <v>0</v>
      </c>
      <c r="E11" s="6" t="str">
        <f t="shared" si="0"/>
        <v>0</v>
      </c>
      <c r="F11" s="6" t="str">
        <f t="shared" si="0"/>
        <v>1</v>
      </c>
      <c r="G11" s="12" t="str">
        <f>MID(DEC2BIN($G$10,$G$8),CG$5,$B$9)</f>
        <v>0</v>
      </c>
      <c r="H11" s="12" t="str">
        <f t="shared" ref="H11:L11" si="1">MID(DEC2BIN($G$10,$G$8),CH$5,$B$9)</f>
        <v>0</v>
      </c>
      <c r="I11" s="12" t="str">
        <f t="shared" si="1"/>
        <v>0</v>
      </c>
      <c r="J11" s="12" t="str">
        <f t="shared" si="1"/>
        <v>0</v>
      </c>
      <c r="K11" s="12" t="str">
        <f t="shared" si="1"/>
        <v>0</v>
      </c>
      <c r="L11" s="12" t="str">
        <f t="shared" si="1"/>
        <v>1</v>
      </c>
      <c r="M11" s="12" t="str">
        <f>MID(DEC2BIN($M$10,$M$8),CG$5,$B$9)</f>
        <v>1</v>
      </c>
      <c r="N11" s="12" t="str">
        <f>MID(DEC2BIN($M$10,$M$8),CH$5,$B$9)</f>
        <v>1</v>
      </c>
      <c r="O11" s="12" t="str">
        <f>MID(DEC2BIN($O$10,$O$8),CG5,$B$9)</f>
        <v>0</v>
      </c>
      <c r="P11" s="12" t="str">
        <f t="shared" ref="P11:R11" si="2">MID(DEC2BIN($O$10,$O$8),CH5,$B$9)</f>
        <v>0</v>
      </c>
      <c r="Q11" s="12" t="str">
        <f t="shared" si="2"/>
        <v>0</v>
      </c>
      <c r="R11" s="12" t="str">
        <f t="shared" si="2"/>
        <v>1</v>
      </c>
      <c r="S11" s="12" t="e">
        <f ca="1">MID(_xll.decToBin($S$10,$S$8),CG$5,$B$9)</f>
        <v>#NAME?</v>
      </c>
      <c r="T11" s="12" t="e">
        <f t="shared" ref="T11:BF11" ca="1" si="3">MID(_xll.decToBin($S$10,$S$8),CH$5,$B$9)</f>
        <v>#NAME?</v>
      </c>
      <c r="U11" s="12" t="e">
        <f t="shared" ca="1" si="3"/>
        <v>#NAME?</v>
      </c>
      <c r="V11" s="12" t="e">
        <f t="shared" ca="1" si="3"/>
        <v>#NAME?</v>
      </c>
      <c r="W11" s="12" t="e">
        <f t="shared" ca="1" si="3"/>
        <v>#NAME?</v>
      </c>
      <c r="X11" s="12" t="e">
        <f t="shared" ca="1" si="3"/>
        <v>#NAME?</v>
      </c>
      <c r="Y11" s="12" t="e">
        <f t="shared" ca="1" si="3"/>
        <v>#NAME?</v>
      </c>
      <c r="Z11" s="12" t="e">
        <f t="shared" ca="1" si="3"/>
        <v>#NAME?</v>
      </c>
      <c r="AA11" s="12" t="e">
        <f t="shared" ca="1" si="3"/>
        <v>#NAME?</v>
      </c>
      <c r="AB11" s="12" t="e">
        <f t="shared" ca="1" si="3"/>
        <v>#NAME?</v>
      </c>
      <c r="AC11" s="12" t="e">
        <f t="shared" ca="1" si="3"/>
        <v>#NAME?</v>
      </c>
      <c r="AD11" s="12" t="e">
        <f t="shared" ca="1" si="3"/>
        <v>#NAME?</v>
      </c>
      <c r="AE11" s="12" t="e">
        <f t="shared" ca="1" si="3"/>
        <v>#NAME?</v>
      </c>
      <c r="AF11" s="12" t="e">
        <f t="shared" ca="1" si="3"/>
        <v>#NAME?</v>
      </c>
      <c r="AG11" s="12" t="e">
        <f t="shared" ca="1" si="3"/>
        <v>#NAME?</v>
      </c>
      <c r="AH11" s="12" t="e">
        <f t="shared" ca="1" si="3"/>
        <v>#NAME?</v>
      </c>
      <c r="AI11" s="12" t="e">
        <f t="shared" ca="1" si="3"/>
        <v>#NAME?</v>
      </c>
      <c r="AJ11" s="12" t="e">
        <f t="shared" ca="1" si="3"/>
        <v>#NAME?</v>
      </c>
      <c r="AK11" s="12" t="e">
        <f t="shared" ca="1" si="3"/>
        <v>#NAME?</v>
      </c>
      <c r="AL11" s="12" t="e">
        <f t="shared" ca="1" si="3"/>
        <v>#NAME?</v>
      </c>
      <c r="AM11" s="12" t="e">
        <f t="shared" ca="1" si="3"/>
        <v>#NAME?</v>
      </c>
      <c r="AN11" s="12" t="e">
        <f t="shared" ca="1" si="3"/>
        <v>#NAME?</v>
      </c>
      <c r="AO11" s="12" t="e">
        <f t="shared" ca="1" si="3"/>
        <v>#NAME?</v>
      </c>
      <c r="AP11" s="12" t="e">
        <f t="shared" ca="1" si="3"/>
        <v>#NAME?</v>
      </c>
      <c r="AQ11" s="12" t="e">
        <f t="shared" ca="1" si="3"/>
        <v>#NAME?</v>
      </c>
      <c r="AR11" s="12" t="e">
        <f t="shared" ca="1" si="3"/>
        <v>#NAME?</v>
      </c>
      <c r="AS11" s="12" t="e">
        <f t="shared" ca="1" si="3"/>
        <v>#NAME?</v>
      </c>
      <c r="AT11" s="12" t="e">
        <f t="shared" ca="1" si="3"/>
        <v>#NAME?</v>
      </c>
      <c r="AU11" s="12" t="e">
        <f t="shared" ca="1" si="3"/>
        <v>#NAME?</v>
      </c>
      <c r="AV11" s="12" t="e">
        <f t="shared" ca="1" si="3"/>
        <v>#NAME?</v>
      </c>
      <c r="AW11" s="12" t="e">
        <f t="shared" ca="1" si="3"/>
        <v>#NAME?</v>
      </c>
      <c r="AX11" s="12" t="e">
        <f t="shared" ca="1" si="3"/>
        <v>#NAME?</v>
      </c>
      <c r="AY11" s="12" t="e">
        <f t="shared" ca="1" si="3"/>
        <v>#NAME?</v>
      </c>
      <c r="AZ11" s="12" t="e">
        <f t="shared" ca="1" si="3"/>
        <v>#NAME?</v>
      </c>
      <c r="BA11" s="12" t="e">
        <f t="shared" ca="1" si="3"/>
        <v>#NAME?</v>
      </c>
      <c r="BB11" s="12" t="e">
        <f t="shared" ca="1" si="3"/>
        <v>#NAME?</v>
      </c>
      <c r="BC11" s="12" t="e">
        <f t="shared" ca="1" si="3"/>
        <v>#NAME?</v>
      </c>
      <c r="BD11" s="12" t="e">
        <f t="shared" ca="1" si="3"/>
        <v>#NAME?</v>
      </c>
      <c r="BE11" s="12" t="e">
        <f t="shared" ca="1" si="3"/>
        <v>#NAME?</v>
      </c>
      <c r="BF11" s="12" t="e">
        <f t="shared" ca="1" si="3"/>
        <v>#NAME?</v>
      </c>
      <c r="BG11" s="12" t="e">
        <f ca="1">MID(_xll.decToBin($BG$10,$BG$8),CG$5,$B$9)</f>
        <v>#NAME?</v>
      </c>
      <c r="BH11" s="12" t="str">
        <f>MID(DEC2BIN($BH$10,$BH$8),CG$5,$B$9)</f>
        <v>0</v>
      </c>
      <c r="BI11" s="12" t="str">
        <f t="shared" ref="BI11:BM11" si="4">MID(DEC2BIN($BH$10,$BH$8),CH$5,$B$9)</f>
        <v>0</v>
      </c>
      <c r="BJ11" s="12" t="str">
        <f t="shared" si="4"/>
        <v>0</v>
      </c>
      <c r="BK11" s="12" t="str">
        <f t="shared" si="4"/>
        <v>0</v>
      </c>
      <c r="BL11" s="12" t="str">
        <f t="shared" si="4"/>
        <v>0</v>
      </c>
      <c r="BM11" s="12" t="str">
        <f t="shared" si="4"/>
        <v>0</v>
      </c>
    </row>
    <row r="12" spans="1:124" x14ac:dyDescent="0.25">
      <c r="A12" s="13" t="s">
        <v>60</v>
      </c>
      <c r="B12" s="27" t="str">
        <f>BIN2HEX(CONCATENATE(B11,C11,D11,E11,F11,G11,H11,I11),2)</f>
        <v>08</v>
      </c>
      <c r="C12" s="28"/>
      <c r="D12" s="28"/>
      <c r="E12" s="28"/>
      <c r="F12" s="28"/>
      <c r="G12" s="28"/>
      <c r="H12" s="28"/>
      <c r="I12" s="29"/>
      <c r="J12" s="27" t="str">
        <f>BIN2HEX(CONCATENATE(J11,K11,L11,M11,N11,O11,P11,Q11),2)</f>
        <v>38</v>
      </c>
      <c r="K12" s="28"/>
      <c r="L12" s="28"/>
      <c r="M12" s="28"/>
      <c r="N12" s="28"/>
      <c r="O12" s="28"/>
      <c r="P12" s="28"/>
      <c r="Q12" s="29"/>
      <c r="R12" s="27" t="e">
        <f ca="1">BIN2HEX(CONCATENATE(R11,S11,T11,U11,V11,W11,X11,Y11),2)</f>
        <v>#NAME?</v>
      </c>
      <c r="S12" s="28"/>
      <c r="T12" s="28"/>
      <c r="U12" s="28"/>
      <c r="V12" s="28"/>
      <c r="W12" s="28"/>
      <c r="X12" s="28"/>
      <c r="Y12" s="29"/>
      <c r="Z12" s="27" t="e">
        <f t="shared" ref="Z12" ca="1" si="5">BIN2HEX(CONCATENATE(Z11,AA11,AB11,AC11,AD11,AE11,AF11,AG11),2)</f>
        <v>#NAME?</v>
      </c>
      <c r="AA12" s="28"/>
      <c r="AB12" s="28"/>
      <c r="AC12" s="28"/>
      <c r="AD12" s="28"/>
      <c r="AE12" s="28"/>
      <c r="AF12" s="28"/>
      <c r="AG12" s="29"/>
      <c r="AH12" s="27" t="e">
        <f t="shared" ref="AH12" ca="1" si="6">BIN2HEX(CONCATENATE(AH11,AI11,AJ11,AK11,AL11,AM11,AN11,AO11),2)</f>
        <v>#NAME?</v>
      </c>
      <c r="AI12" s="28"/>
      <c r="AJ12" s="28"/>
      <c r="AK12" s="28"/>
      <c r="AL12" s="28"/>
      <c r="AM12" s="28"/>
      <c r="AN12" s="28"/>
      <c r="AO12" s="29"/>
      <c r="AP12" s="27" t="e">
        <f t="shared" ref="AP12" ca="1" si="7">BIN2HEX(CONCATENATE(AP11,AQ11,AR11,AS11,AT11,AU11,AV11,AW11),2)</f>
        <v>#NAME?</v>
      </c>
      <c r="AQ12" s="28"/>
      <c r="AR12" s="28"/>
      <c r="AS12" s="28"/>
      <c r="AT12" s="28"/>
      <c r="AU12" s="28"/>
      <c r="AV12" s="28"/>
      <c r="AW12" s="29"/>
      <c r="AX12" s="27" t="e">
        <f t="shared" ref="AX12" ca="1" si="8">BIN2HEX(CONCATENATE(AX11,AY11,AZ11,BA11,BB11,BC11,BD11,BE11),2)</f>
        <v>#NAME?</v>
      </c>
      <c r="AY12" s="28"/>
      <c r="AZ12" s="28"/>
      <c r="BA12" s="28"/>
      <c r="BB12" s="28"/>
      <c r="BC12" s="28"/>
      <c r="BD12" s="28"/>
      <c r="BE12" s="29"/>
      <c r="BF12" s="27" t="e">
        <f t="shared" ref="BF12" ca="1" si="9">BIN2HEX(CONCATENATE(BF11,BG11,BH11,BI11,BJ11,BK11,BL11,BM11),2)</f>
        <v>#NAME?</v>
      </c>
      <c r="BG12" s="28"/>
      <c r="BH12" s="28"/>
      <c r="BI12" s="28"/>
      <c r="BJ12" s="28"/>
      <c r="BK12" s="28"/>
      <c r="BL12" s="28"/>
      <c r="BM12" s="29"/>
    </row>
    <row r="16" spans="1:124" x14ac:dyDescent="0.25">
      <c r="A16" s="14" t="s">
        <v>11</v>
      </c>
      <c r="B16" s="27" t="s">
        <v>6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9"/>
    </row>
    <row r="17" spans="1:65" x14ac:dyDescent="0.25">
      <c r="A17" s="14" t="s">
        <v>10</v>
      </c>
      <c r="B17" s="27" t="s">
        <v>0</v>
      </c>
      <c r="C17" s="28"/>
      <c r="D17" s="28"/>
      <c r="E17" s="28"/>
      <c r="F17" s="28"/>
      <c r="G17" s="28"/>
      <c r="H17" s="28"/>
      <c r="I17" s="29"/>
      <c r="J17" s="27" t="s">
        <v>0</v>
      </c>
      <c r="K17" s="28"/>
      <c r="L17" s="28"/>
      <c r="M17" s="28"/>
      <c r="N17" s="28"/>
      <c r="O17" s="28"/>
      <c r="P17" s="28"/>
      <c r="Q17" s="29"/>
      <c r="R17" s="27" t="s">
        <v>0</v>
      </c>
      <c r="S17" s="28"/>
      <c r="T17" s="28"/>
      <c r="U17" s="28"/>
      <c r="V17" s="28"/>
      <c r="W17" s="28"/>
      <c r="X17" s="28"/>
      <c r="Y17" s="29"/>
      <c r="Z17" s="27" t="s">
        <v>0</v>
      </c>
      <c r="AA17" s="28"/>
      <c r="AB17" s="28"/>
      <c r="AC17" s="28"/>
      <c r="AD17" s="28"/>
      <c r="AE17" s="28"/>
      <c r="AF17" s="28"/>
      <c r="AG17" s="29"/>
      <c r="AH17" s="27" t="s">
        <v>0</v>
      </c>
      <c r="AI17" s="28"/>
      <c r="AJ17" s="28"/>
      <c r="AK17" s="28"/>
      <c r="AL17" s="28"/>
      <c r="AM17" s="28"/>
      <c r="AN17" s="28"/>
      <c r="AO17" s="29"/>
      <c r="AP17" s="27" t="s">
        <v>0</v>
      </c>
      <c r="AQ17" s="28"/>
      <c r="AR17" s="28"/>
      <c r="AS17" s="28"/>
      <c r="AT17" s="28"/>
      <c r="AU17" s="28"/>
      <c r="AV17" s="28"/>
      <c r="AW17" s="29"/>
      <c r="AX17" s="27" t="s">
        <v>0</v>
      </c>
      <c r="AY17" s="28"/>
      <c r="AZ17" s="28"/>
      <c r="BA17" s="28"/>
      <c r="BB17" s="28"/>
      <c r="BC17" s="28"/>
      <c r="BD17" s="28"/>
      <c r="BE17" s="29"/>
      <c r="BF17" s="27" t="s">
        <v>0</v>
      </c>
      <c r="BG17" s="28"/>
      <c r="BH17" s="28"/>
      <c r="BI17" s="28"/>
      <c r="BJ17" s="28"/>
      <c r="BK17" s="28"/>
      <c r="BL17" s="28"/>
      <c r="BM17" s="29"/>
    </row>
    <row r="18" spans="1:65" x14ac:dyDescent="0.25">
      <c r="A18" s="15" t="s">
        <v>9</v>
      </c>
      <c r="B18" s="27" t="s">
        <v>67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  <c r="AH18" s="27" t="s">
        <v>68</v>
      </c>
      <c r="AI18" s="28"/>
      <c r="AJ18" s="28"/>
      <c r="AK18" s="28"/>
      <c r="AL18" s="28"/>
      <c r="AM18" s="28"/>
      <c r="AN18" s="28"/>
      <c r="AO18" s="28"/>
      <c r="AP18" s="28"/>
      <c r="AQ18" s="28"/>
      <c r="AR18" s="29"/>
      <c r="AS18" s="27" t="s">
        <v>69</v>
      </c>
      <c r="AT18" s="28"/>
      <c r="AU18" s="28"/>
      <c r="AV18" s="28"/>
      <c r="AW18" s="28"/>
      <c r="AX18" s="29"/>
      <c r="AY18" s="27" t="s">
        <v>70</v>
      </c>
      <c r="AZ18" s="28"/>
      <c r="BA18" s="28"/>
      <c r="BB18" s="28"/>
      <c r="BC18" s="29"/>
      <c r="BD18" s="27" t="s">
        <v>71</v>
      </c>
      <c r="BE18" s="28"/>
      <c r="BF18" s="28"/>
      <c r="BG18" s="28"/>
      <c r="BH18" s="29"/>
      <c r="BI18" s="27" t="s">
        <v>72</v>
      </c>
      <c r="BJ18" s="28"/>
      <c r="BK18" s="29"/>
      <c r="BL18" s="12" t="s">
        <v>73</v>
      </c>
      <c r="BM18" s="12" t="s">
        <v>74</v>
      </c>
    </row>
    <row r="19" spans="1:65" x14ac:dyDescent="0.25">
      <c r="A19" s="16" t="s">
        <v>52</v>
      </c>
      <c r="B19" s="27">
        <v>32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  <c r="AH19" s="27">
        <v>11</v>
      </c>
      <c r="AI19" s="28"/>
      <c r="AJ19" s="28"/>
      <c r="AK19" s="28"/>
      <c r="AL19" s="28"/>
      <c r="AM19" s="28"/>
      <c r="AN19" s="28"/>
      <c r="AO19" s="28"/>
      <c r="AP19" s="28"/>
      <c r="AQ19" s="28"/>
      <c r="AR19" s="29"/>
      <c r="AS19" s="27">
        <v>6</v>
      </c>
      <c r="AT19" s="28"/>
      <c r="AU19" s="28"/>
      <c r="AV19" s="28"/>
      <c r="AW19" s="28"/>
      <c r="AX19" s="29"/>
      <c r="AY19" s="27">
        <v>5</v>
      </c>
      <c r="AZ19" s="28"/>
      <c r="BA19" s="28"/>
      <c r="BB19" s="28"/>
      <c r="BC19" s="29"/>
      <c r="BD19" s="27">
        <v>5</v>
      </c>
      <c r="BE19" s="28"/>
      <c r="BF19" s="28"/>
      <c r="BG19" s="28"/>
      <c r="BH19" s="29"/>
      <c r="BI19" s="27">
        <v>3</v>
      </c>
      <c r="BJ19" s="28"/>
      <c r="BK19" s="29"/>
      <c r="BL19" s="17">
        <v>1</v>
      </c>
      <c r="BM19" s="17">
        <v>1</v>
      </c>
    </row>
    <row r="20" spans="1:65" x14ac:dyDescent="0.25">
      <c r="A20" s="14" t="s">
        <v>8</v>
      </c>
      <c r="B20" s="12">
        <v>65</v>
      </c>
      <c r="C20" s="12">
        <v>66</v>
      </c>
      <c r="D20" s="12">
        <v>67</v>
      </c>
      <c r="E20" s="12">
        <v>68</v>
      </c>
      <c r="F20" s="12">
        <v>69</v>
      </c>
      <c r="G20" s="12">
        <v>70</v>
      </c>
      <c r="H20" s="12">
        <v>71</v>
      </c>
      <c r="I20" s="12">
        <v>72</v>
      </c>
      <c r="J20" s="12">
        <v>73</v>
      </c>
      <c r="K20" s="12">
        <v>74</v>
      </c>
      <c r="L20" s="12">
        <v>75</v>
      </c>
      <c r="M20" s="12">
        <v>76</v>
      </c>
      <c r="N20" s="12">
        <v>77</v>
      </c>
      <c r="O20" s="12">
        <v>78</v>
      </c>
      <c r="P20" s="12">
        <v>79</v>
      </c>
      <c r="Q20" s="12">
        <v>80</v>
      </c>
      <c r="R20" s="12">
        <v>81</v>
      </c>
      <c r="S20" s="12">
        <v>82</v>
      </c>
      <c r="T20" s="12">
        <v>83</v>
      </c>
      <c r="U20" s="12">
        <v>84</v>
      </c>
      <c r="V20" s="12">
        <v>85</v>
      </c>
      <c r="W20" s="12">
        <v>86</v>
      </c>
      <c r="X20" s="12">
        <v>87</v>
      </c>
      <c r="Y20" s="12">
        <v>88</v>
      </c>
      <c r="Z20" s="12">
        <v>89</v>
      </c>
      <c r="AA20" s="12">
        <v>90</v>
      </c>
      <c r="AB20" s="12">
        <v>91</v>
      </c>
      <c r="AC20" s="12">
        <v>92</v>
      </c>
      <c r="AD20" s="12">
        <v>93</v>
      </c>
      <c r="AE20" s="12">
        <v>94</v>
      </c>
      <c r="AF20" s="12">
        <v>95</v>
      </c>
      <c r="AG20" s="12">
        <v>96</v>
      </c>
      <c r="AH20" s="12">
        <v>97</v>
      </c>
      <c r="AI20" s="12">
        <v>98</v>
      </c>
      <c r="AJ20" s="12">
        <v>99</v>
      </c>
      <c r="AK20" s="12">
        <v>100</v>
      </c>
      <c r="AL20" s="12">
        <v>101</v>
      </c>
      <c r="AM20" s="12">
        <v>102</v>
      </c>
      <c r="AN20" s="12">
        <v>103</v>
      </c>
      <c r="AO20" s="12">
        <v>104</v>
      </c>
      <c r="AP20" s="12">
        <v>105</v>
      </c>
      <c r="AQ20" s="12">
        <v>106</v>
      </c>
      <c r="AR20" s="12">
        <v>107</v>
      </c>
      <c r="AS20" s="12">
        <v>108</v>
      </c>
      <c r="AT20" s="12">
        <v>109</v>
      </c>
      <c r="AU20" s="12">
        <v>110</v>
      </c>
      <c r="AV20" s="12">
        <v>111</v>
      </c>
      <c r="AW20" s="12">
        <v>112</v>
      </c>
      <c r="AX20" s="12">
        <v>113</v>
      </c>
      <c r="AY20" s="12">
        <v>114</v>
      </c>
      <c r="AZ20" s="12">
        <v>115</v>
      </c>
      <c r="BA20" s="12">
        <v>116</v>
      </c>
      <c r="BB20" s="12">
        <v>117</v>
      </c>
      <c r="BC20" s="12">
        <v>118</v>
      </c>
      <c r="BD20" s="12">
        <v>119</v>
      </c>
      <c r="BE20" s="12">
        <v>120</v>
      </c>
      <c r="BF20" s="12">
        <v>121</v>
      </c>
      <c r="BG20" s="12">
        <v>122</v>
      </c>
      <c r="BH20" s="12">
        <v>123</v>
      </c>
      <c r="BI20" s="12">
        <v>124</v>
      </c>
      <c r="BJ20" s="12">
        <v>125</v>
      </c>
      <c r="BK20" s="12">
        <v>126</v>
      </c>
      <c r="BL20" s="12">
        <v>127</v>
      </c>
      <c r="BM20" s="12">
        <v>128</v>
      </c>
    </row>
    <row r="21" spans="1:65" x14ac:dyDescent="0.25">
      <c r="A21" s="18" t="s">
        <v>33</v>
      </c>
      <c r="B21" s="33">
        <v>1500015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5"/>
      <c r="AH21" s="45" t="e">
        <f ca="1">_xll.getFormatedDate(TODAY())</f>
        <v>#NAME?</v>
      </c>
      <c r="AI21" s="46"/>
      <c r="AJ21" s="46"/>
      <c r="AK21" s="46"/>
      <c r="AL21" s="46"/>
      <c r="AM21" s="46"/>
      <c r="AN21" s="46"/>
      <c r="AO21" s="46"/>
      <c r="AP21" s="46"/>
      <c r="AQ21" s="46"/>
      <c r="AR21" s="47"/>
      <c r="AS21" s="30">
        <v>0</v>
      </c>
      <c r="AT21" s="31"/>
      <c r="AU21" s="31"/>
      <c r="AV21" s="31"/>
      <c r="AW21" s="31"/>
      <c r="AX21" s="32"/>
      <c r="AY21" s="30">
        <v>1</v>
      </c>
      <c r="AZ21" s="31"/>
      <c r="BA21" s="31"/>
      <c r="BB21" s="31"/>
      <c r="BC21" s="32"/>
      <c r="BD21" s="39">
        <v>15</v>
      </c>
      <c r="BE21" s="41"/>
      <c r="BF21" s="41"/>
      <c r="BG21" s="41"/>
      <c r="BH21" s="40"/>
      <c r="BI21" s="30">
        <v>0</v>
      </c>
      <c r="BJ21" s="31"/>
      <c r="BK21" s="32"/>
      <c r="BL21" s="23">
        <v>1</v>
      </c>
      <c r="BM21" s="23">
        <v>1</v>
      </c>
    </row>
    <row r="22" spans="1:65" x14ac:dyDescent="0.25">
      <c r="A22" s="13" t="s">
        <v>59</v>
      </c>
      <c r="B22" s="12" t="e">
        <f ca="1">MID(_xll.decToBin($B$21,$B$19),CG$5,$B$9)</f>
        <v>#NAME?</v>
      </c>
      <c r="C22" s="12" t="e">
        <f t="shared" ref="C22:AG22" ca="1" si="10">MID(_xll.decToBin($B$21,$B$19),CH$5,$B$9)</f>
        <v>#NAME?</v>
      </c>
      <c r="D22" s="12" t="e">
        <f t="shared" ca="1" si="10"/>
        <v>#NAME?</v>
      </c>
      <c r="E22" s="12" t="e">
        <f t="shared" ca="1" si="10"/>
        <v>#NAME?</v>
      </c>
      <c r="F22" s="12" t="e">
        <f t="shared" ca="1" si="10"/>
        <v>#NAME?</v>
      </c>
      <c r="G22" s="12" t="e">
        <f t="shared" ca="1" si="10"/>
        <v>#NAME?</v>
      </c>
      <c r="H22" s="12" t="e">
        <f t="shared" ca="1" si="10"/>
        <v>#NAME?</v>
      </c>
      <c r="I22" s="12" t="e">
        <f t="shared" ca="1" si="10"/>
        <v>#NAME?</v>
      </c>
      <c r="J22" s="12" t="e">
        <f t="shared" ca="1" si="10"/>
        <v>#NAME?</v>
      </c>
      <c r="K22" s="12" t="e">
        <f t="shared" ca="1" si="10"/>
        <v>#NAME?</v>
      </c>
      <c r="L22" s="12" t="e">
        <f t="shared" ca="1" si="10"/>
        <v>#NAME?</v>
      </c>
      <c r="M22" s="12" t="e">
        <f t="shared" ca="1" si="10"/>
        <v>#NAME?</v>
      </c>
      <c r="N22" s="12" t="e">
        <f t="shared" ca="1" si="10"/>
        <v>#NAME?</v>
      </c>
      <c r="O22" s="12" t="e">
        <f t="shared" ca="1" si="10"/>
        <v>#NAME?</v>
      </c>
      <c r="P22" s="12" t="e">
        <f t="shared" ca="1" si="10"/>
        <v>#NAME?</v>
      </c>
      <c r="Q22" s="12" t="e">
        <f t="shared" ca="1" si="10"/>
        <v>#NAME?</v>
      </c>
      <c r="R22" s="12" t="e">
        <f t="shared" ca="1" si="10"/>
        <v>#NAME?</v>
      </c>
      <c r="S22" s="12" t="e">
        <f t="shared" ca="1" si="10"/>
        <v>#NAME?</v>
      </c>
      <c r="T22" s="12" t="e">
        <f t="shared" ca="1" si="10"/>
        <v>#NAME?</v>
      </c>
      <c r="U22" s="12" t="e">
        <f t="shared" ca="1" si="10"/>
        <v>#NAME?</v>
      </c>
      <c r="V22" s="12" t="e">
        <f t="shared" ca="1" si="10"/>
        <v>#NAME?</v>
      </c>
      <c r="W22" s="12" t="e">
        <f t="shared" ca="1" si="10"/>
        <v>#NAME?</v>
      </c>
      <c r="X22" s="12" t="e">
        <f t="shared" ca="1" si="10"/>
        <v>#NAME?</v>
      </c>
      <c r="Y22" s="12" t="e">
        <f t="shared" ca="1" si="10"/>
        <v>#NAME?</v>
      </c>
      <c r="Z22" s="12" t="e">
        <f t="shared" ca="1" si="10"/>
        <v>#NAME?</v>
      </c>
      <c r="AA22" s="12" t="e">
        <f t="shared" ca="1" si="10"/>
        <v>#NAME?</v>
      </c>
      <c r="AB22" s="12" t="e">
        <f t="shared" ca="1" si="10"/>
        <v>#NAME?</v>
      </c>
      <c r="AC22" s="12" t="e">
        <f t="shared" ca="1" si="10"/>
        <v>#NAME?</v>
      </c>
      <c r="AD22" s="12" t="e">
        <f t="shared" ca="1" si="10"/>
        <v>#NAME?</v>
      </c>
      <c r="AE22" s="12" t="e">
        <f t="shared" ca="1" si="10"/>
        <v>#NAME?</v>
      </c>
      <c r="AF22" s="12" t="e">
        <f t="shared" ca="1" si="10"/>
        <v>#NAME?</v>
      </c>
      <c r="AG22" s="12" t="e">
        <f t="shared" ca="1" si="10"/>
        <v>#NAME?</v>
      </c>
      <c r="AH22" s="12" t="e">
        <f ca="1">MID(_xll.decToBin($AH$21,$AH$19),CG$5,$B$9)</f>
        <v>#NAME?</v>
      </c>
      <c r="AI22" s="12" t="e">
        <f ca="1">MID(_xll.decToBin($AH$21,$AH$19),CH$5,$B$9)</f>
        <v>#NAME?</v>
      </c>
      <c r="AJ22" s="12" t="e">
        <f ca="1">MID(_xll.decToBin($AH$21,$AH$19),CI$5,$B$9)</f>
        <v>#NAME?</v>
      </c>
      <c r="AK22" s="12" t="e">
        <f ca="1">MID(_xll.decToBin($AH$21,$AH$19),CJ$5,$B$9)</f>
        <v>#NAME?</v>
      </c>
      <c r="AL22" s="12" t="e">
        <f ca="1">MID(_xll.decToBin($AH$21,$AH$19),CK$5,$B$9)</f>
        <v>#NAME?</v>
      </c>
      <c r="AM22" s="12" t="e">
        <f ca="1">MID(_xll.decToBin($AH$21,$AH$19),CL$5,$B$9)</f>
        <v>#NAME?</v>
      </c>
      <c r="AN22" s="12" t="e">
        <f ca="1">MID(_xll.decToBin($AH$21,$AH$19),CM$5,$B$9)</f>
        <v>#NAME?</v>
      </c>
      <c r="AO22" s="12" t="e">
        <f ca="1">MID(_xll.decToBin($AH$21,$AH$19),CN$5,$B$9)</f>
        <v>#NAME?</v>
      </c>
      <c r="AP22" s="12" t="e">
        <f ca="1">MID(_xll.decToBin($AH$21,$AH$19),CO$5,$B$9)</f>
        <v>#NAME?</v>
      </c>
      <c r="AQ22" s="12" t="e">
        <f ca="1">MID(_xll.decToBin($AH$21,$AH$19),CP$5,$B$9)</f>
        <v>#NAME?</v>
      </c>
      <c r="AR22" s="12" t="e">
        <f ca="1">MID(_xll.decToBin($AH$21,$AH$19),CQ$5,$B$9)</f>
        <v>#NAME?</v>
      </c>
      <c r="AS22" s="12" t="e">
        <f ca="1">MID(_xll.decToBin($AS$21,$AS$19),CG$5,$B$9)</f>
        <v>#NAME?</v>
      </c>
      <c r="AT22" s="12" t="e">
        <f t="shared" ref="AT22:AX22" ca="1" si="11">MID(_xll.decToBin($AS$21,$AS$19),CH$5,$B$9)</f>
        <v>#NAME?</v>
      </c>
      <c r="AU22" s="12" t="e">
        <f t="shared" ca="1" si="11"/>
        <v>#NAME?</v>
      </c>
      <c r="AV22" s="12" t="e">
        <f t="shared" ca="1" si="11"/>
        <v>#NAME?</v>
      </c>
      <c r="AW22" s="12" t="e">
        <f t="shared" ca="1" si="11"/>
        <v>#NAME?</v>
      </c>
      <c r="AX22" s="12" t="e">
        <f t="shared" ca="1" si="11"/>
        <v>#NAME?</v>
      </c>
      <c r="AY22" s="12" t="e">
        <f ca="1">MID(_xll.decToBin($AY$21,$AY$19),CG$5,$B$9)</f>
        <v>#NAME?</v>
      </c>
      <c r="AZ22" s="12" t="e">
        <f t="shared" ref="AZ22:BC22" ca="1" si="12">MID(_xll.decToBin($AY$21,$AY$19),CH$5,$B$9)</f>
        <v>#NAME?</v>
      </c>
      <c r="BA22" s="12" t="e">
        <f t="shared" ca="1" si="12"/>
        <v>#NAME?</v>
      </c>
      <c r="BB22" s="12" t="e">
        <f t="shared" ca="1" si="12"/>
        <v>#NAME?</v>
      </c>
      <c r="BC22" s="12" t="e">
        <f t="shared" ca="1" si="12"/>
        <v>#NAME?</v>
      </c>
      <c r="BD22" s="12" t="e">
        <f ca="1">MID(_xll.decToBin($BD$21,$BD$19),CG$5,$B$9)</f>
        <v>#NAME?</v>
      </c>
      <c r="BE22" s="12" t="e">
        <f t="shared" ref="BE22:BH22" ca="1" si="13">MID(_xll.decToBin($BD$21,$BD$19),CH$5,$B$9)</f>
        <v>#NAME?</v>
      </c>
      <c r="BF22" s="12" t="e">
        <f t="shared" ca="1" si="13"/>
        <v>#NAME?</v>
      </c>
      <c r="BG22" s="12" t="e">
        <f t="shared" ca="1" si="13"/>
        <v>#NAME?</v>
      </c>
      <c r="BH22" s="12" t="e">
        <f t="shared" ca="1" si="13"/>
        <v>#NAME?</v>
      </c>
      <c r="BI22" s="12" t="e">
        <f ca="1">MID(_xll.decToBin($BI$21,$BI$19),CG$5,$B$9)</f>
        <v>#NAME?</v>
      </c>
      <c r="BJ22" s="12" t="e">
        <f t="shared" ref="BJ22:BK22" ca="1" si="14">MID(_xll.decToBin($BI$21,$BI$19),CH$5,$B$9)</f>
        <v>#NAME?</v>
      </c>
      <c r="BK22" s="12" t="e">
        <f t="shared" ca="1" si="14"/>
        <v>#NAME?</v>
      </c>
      <c r="BL22" s="12" t="e">
        <f ca="1">MID(_xll.decToBin($BL$21,$BL$19),CG$5,$B$9)</f>
        <v>#NAME?</v>
      </c>
      <c r="BM22" s="12" t="e">
        <f ca="1">MID(_xll.decToBin($BM$21,$BM$19),CG$5,$B$9)</f>
        <v>#NAME?</v>
      </c>
    </row>
    <row r="23" spans="1:65" x14ac:dyDescent="0.25">
      <c r="A23" s="13" t="s">
        <v>60</v>
      </c>
      <c r="B23" s="27" t="e">
        <f ca="1">BIN2HEX(CONCATENATE(B22,C22,D22,E22,F22,G22,H22,I22),2)</f>
        <v>#NAME?</v>
      </c>
      <c r="C23" s="28"/>
      <c r="D23" s="28"/>
      <c r="E23" s="28"/>
      <c r="F23" s="28"/>
      <c r="G23" s="28"/>
      <c r="H23" s="28"/>
      <c r="I23" s="29"/>
      <c r="J23" s="27" t="e">
        <f t="shared" ref="J23" ca="1" si="15">BIN2HEX(CONCATENATE(J22,K22,L22,M22,N22,O22,P22,Q22),2)</f>
        <v>#NAME?</v>
      </c>
      <c r="K23" s="28"/>
      <c r="L23" s="28"/>
      <c r="M23" s="28"/>
      <c r="N23" s="28"/>
      <c r="O23" s="28"/>
      <c r="P23" s="28"/>
      <c r="Q23" s="29"/>
      <c r="R23" s="27" t="e">
        <f t="shared" ref="R23" ca="1" si="16">BIN2HEX(CONCATENATE(R22,S22,T22,U22,V22,W22,X22,Y22),2)</f>
        <v>#NAME?</v>
      </c>
      <c r="S23" s="28"/>
      <c r="T23" s="28"/>
      <c r="U23" s="28"/>
      <c r="V23" s="28"/>
      <c r="W23" s="28"/>
      <c r="X23" s="28"/>
      <c r="Y23" s="29"/>
      <c r="Z23" s="27" t="e">
        <f t="shared" ref="Z23" ca="1" si="17">BIN2HEX(CONCATENATE(Z22,AA22,AB22,AC22,AD22,AE22,AF22,AG22),2)</f>
        <v>#NAME?</v>
      </c>
      <c r="AA23" s="28"/>
      <c r="AB23" s="28"/>
      <c r="AC23" s="28"/>
      <c r="AD23" s="28"/>
      <c r="AE23" s="28"/>
      <c r="AF23" s="28"/>
      <c r="AG23" s="29"/>
      <c r="AH23" s="27" t="e">
        <f t="shared" ref="AH23" ca="1" si="18">BIN2HEX(CONCATENATE(AH22,AI22,AJ22,AK22,AL22,AM22,AN22,AO22),2)</f>
        <v>#NAME?</v>
      </c>
      <c r="AI23" s="28"/>
      <c r="AJ23" s="28"/>
      <c r="AK23" s="28"/>
      <c r="AL23" s="28"/>
      <c r="AM23" s="28"/>
      <c r="AN23" s="28"/>
      <c r="AO23" s="29"/>
      <c r="AP23" s="27" t="e">
        <f t="shared" ref="AP23" ca="1" si="19">BIN2HEX(CONCATENATE(AP22,AQ22,AR22,AS22,AT22,AU22,AV22,AW22),2)</f>
        <v>#NAME?</v>
      </c>
      <c r="AQ23" s="28"/>
      <c r="AR23" s="28"/>
      <c r="AS23" s="28"/>
      <c r="AT23" s="28"/>
      <c r="AU23" s="28"/>
      <c r="AV23" s="28"/>
      <c r="AW23" s="29"/>
      <c r="AX23" s="27" t="e">
        <f t="shared" ref="AX23" ca="1" si="20">BIN2HEX(CONCATENATE(AX22,AY22,AZ22,BA22,BB22,BC22,BD22,BE22),2)</f>
        <v>#NAME?</v>
      </c>
      <c r="AY23" s="28"/>
      <c r="AZ23" s="28"/>
      <c r="BA23" s="28"/>
      <c r="BB23" s="28"/>
      <c r="BC23" s="28"/>
      <c r="BD23" s="28"/>
      <c r="BE23" s="29"/>
      <c r="BF23" s="27" t="e">
        <f t="shared" ref="BF23" ca="1" si="21">BIN2HEX(CONCATENATE(BF22,BG22,BH22,BI22,BJ22,BK22,BL22,BM22),2)</f>
        <v>#NAME?</v>
      </c>
      <c r="BG23" s="28"/>
      <c r="BH23" s="28"/>
      <c r="BI23" s="28"/>
      <c r="BJ23" s="28"/>
      <c r="BK23" s="28"/>
      <c r="BL23" s="28"/>
      <c r="BM23" s="29"/>
    </row>
    <row r="27" spans="1:65" x14ac:dyDescent="0.25">
      <c r="A27" s="19" t="s">
        <v>57</v>
      </c>
      <c r="B27" s="48" t="e">
        <f ca="1">CONCATENATE(B11,C11,D11,E11,F11,G11,H11,I11,J11,K11,L11,M11,N11,O11,P11,Q11,R11,S11,T11,U11,V11,W11,X11,Y11,Z11,AA11,AB11,AC11,AD11,AE11,AF11,AG11,AH11,AI11,AJ11,AK11,AL11,AM11,AN11,AO11,AP11,AQ11,AR11,AS11,AT11,AU11,AV11,AW11,AX11,AY11,AZ11,BA11,BB11,BC11,BD11,BE11,BF11,BG11,BH11,BI11,BJ11,BK11,BL11,BM11,B22,C22,D22,E22,F22,G22,H22,I22,J22,K22,L22,M22,N22,O22,P22,Q22,R22,S22,T22,U22,V22,W22,X22,Y22,Z22,AA22,AB22,AC22,AD22,AE22,AF22,AG22,AH22,AI22,AJ22,AK22,AL22,AM22,AN22,AO22,AP22,AQ22,AR22,AS22,AT22,AU22,AV22,AW22,AX22,AY22,AZ22,BA22,BB22,BC22,BD22,BE22,BF22,BG22,BH22,BI22,BJ22,BK22,BL22,BM22)</f>
        <v>#NAME?</v>
      </c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</row>
    <row r="28" spans="1:65" x14ac:dyDescent="0.25">
      <c r="A28" s="6" t="s">
        <v>58</v>
      </c>
      <c r="B28" s="6" t="e">
        <f ca="1">LEN(B27)</f>
        <v>#NAME?</v>
      </c>
    </row>
    <row r="29" spans="1:65" x14ac:dyDescent="0.25">
      <c r="A29" s="6" t="s">
        <v>61</v>
      </c>
      <c r="B29" s="48" t="e">
        <f ca="1">_xll.Bin2HexMulti16(B27)</f>
        <v>#NAME?</v>
      </c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</row>
    <row r="30" spans="1:65" x14ac:dyDescent="0.25">
      <c r="A30" s="6" t="s">
        <v>62</v>
      </c>
      <c r="B30" s="48" t="e">
        <f ca="1">CONCATENATE(B12,J12,R12,Z12,AH12,AP12,AX12,BF12,B23,J23,R23,Z23,AH23,AP23,AX23,BF23)</f>
        <v>#NAME?</v>
      </c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</row>
    <row r="32" spans="1:65" x14ac:dyDescent="0.25">
      <c r="C32" t="str">
        <f>DEC2HEX(B21,8)</f>
        <v>0016E36F</v>
      </c>
      <c r="AA32" s="24"/>
    </row>
    <row r="33" spans="1:33" x14ac:dyDescent="0.25">
      <c r="A33" s="21"/>
      <c r="C33" s="22" t="e">
        <f ca="1">_xll.Accespwd(B21)</f>
        <v>#NAME?</v>
      </c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</row>
    <row r="34" spans="1:33" x14ac:dyDescent="0.25"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AG34" s="20"/>
    </row>
    <row r="35" spans="1:33" x14ac:dyDescent="0.25">
      <c r="I35" s="14"/>
      <c r="J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</row>
    <row r="36" spans="1:33" x14ac:dyDescent="0.25">
      <c r="A36" s="25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</row>
    <row r="37" spans="1:33" x14ac:dyDescent="0.25"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</row>
    <row r="38" spans="1:33" x14ac:dyDescent="0.25">
      <c r="H38" t="s">
        <v>75</v>
      </c>
      <c r="I38" s="14"/>
      <c r="J38" s="14"/>
      <c r="K38" s="14"/>
      <c r="L38" s="14" t="e">
        <f ca="1">B29</f>
        <v>#NAME?</v>
      </c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</row>
    <row r="39" spans="1:33" x14ac:dyDescent="0.25">
      <c r="H39" t="s">
        <v>76</v>
      </c>
      <c r="I39" s="14"/>
      <c r="J39" s="14"/>
      <c r="K39" s="14"/>
      <c r="L39" s="14" t="str">
        <f>C32</f>
        <v>0016E36F</v>
      </c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</row>
    <row r="40" spans="1:33" x14ac:dyDescent="0.25">
      <c r="B40" s="14"/>
      <c r="C40" s="14"/>
      <c r="D40" s="14"/>
      <c r="E40" s="14"/>
      <c r="F40" s="14"/>
      <c r="H40" t="s">
        <v>77</v>
      </c>
      <c r="I40" s="14"/>
      <c r="J40" s="14"/>
      <c r="K40" s="14"/>
      <c r="L40" s="14" t="e">
        <f ca="1">C33</f>
        <v>#NAME?</v>
      </c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</row>
    <row r="41" spans="1:33" x14ac:dyDescent="0.25"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</row>
    <row r="42" spans="1:33" x14ac:dyDescent="0.25"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</row>
    <row r="43" spans="1:33" x14ac:dyDescent="0.25"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</row>
    <row r="44" spans="1:33" x14ac:dyDescent="0.25"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</row>
  </sheetData>
  <mergeCells count="73">
    <mergeCell ref="B29:M29"/>
    <mergeCell ref="B30:M30"/>
    <mergeCell ref="BD18:BH18"/>
    <mergeCell ref="BI21:BK21"/>
    <mergeCell ref="BI19:BK19"/>
    <mergeCell ref="BI18:BK18"/>
    <mergeCell ref="B27:AM27"/>
    <mergeCell ref="BF23:BM23"/>
    <mergeCell ref="AX23:BE23"/>
    <mergeCell ref="AP23:AW23"/>
    <mergeCell ref="BD19:BH19"/>
    <mergeCell ref="BH10:BM10"/>
    <mergeCell ref="BH8:BM8"/>
    <mergeCell ref="BH7:BM7"/>
    <mergeCell ref="AH21:AR21"/>
    <mergeCell ref="AH19:AR19"/>
    <mergeCell ref="AH18:AR18"/>
    <mergeCell ref="AS21:AX21"/>
    <mergeCell ref="AS19:AX19"/>
    <mergeCell ref="AS18:AX18"/>
    <mergeCell ref="AY21:BC21"/>
    <mergeCell ref="BF12:BM12"/>
    <mergeCell ref="AX12:BE12"/>
    <mergeCell ref="AP12:AW12"/>
    <mergeCell ref="AY19:BC19"/>
    <mergeCell ref="AY18:BC18"/>
    <mergeCell ref="BD21:BH21"/>
    <mergeCell ref="O10:R10"/>
    <mergeCell ref="O8:R8"/>
    <mergeCell ref="O7:R7"/>
    <mergeCell ref="S10:BF10"/>
    <mergeCell ref="S8:BF8"/>
    <mergeCell ref="S7:BF7"/>
    <mergeCell ref="G10:L10"/>
    <mergeCell ref="G8:L8"/>
    <mergeCell ref="G7:L7"/>
    <mergeCell ref="M10:N10"/>
    <mergeCell ref="M8:N8"/>
    <mergeCell ref="M7:N7"/>
    <mergeCell ref="AH12:AO12"/>
    <mergeCell ref="B23:I23"/>
    <mergeCell ref="Z23:AG23"/>
    <mergeCell ref="R23:Y23"/>
    <mergeCell ref="J23:Q23"/>
    <mergeCell ref="AH23:AO23"/>
    <mergeCell ref="B21:AG21"/>
    <mergeCell ref="B19:AG19"/>
    <mergeCell ref="B18:AG18"/>
    <mergeCell ref="AX17:BE17"/>
    <mergeCell ref="BF17:BM17"/>
    <mergeCell ref="B16:BM16"/>
    <mergeCell ref="B7:F7"/>
    <mergeCell ref="B8:F8"/>
    <mergeCell ref="B10:F10"/>
    <mergeCell ref="B12:I12"/>
    <mergeCell ref="J12:Q12"/>
    <mergeCell ref="R12:Y12"/>
    <mergeCell ref="B17:I17"/>
    <mergeCell ref="J17:Q17"/>
    <mergeCell ref="R17:Y17"/>
    <mergeCell ref="Z17:AG17"/>
    <mergeCell ref="AH17:AO17"/>
    <mergeCell ref="AP17:AW17"/>
    <mergeCell ref="Z12:AG12"/>
    <mergeCell ref="B5:BM5"/>
    <mergeCell ref="B6:I6"/>
    <mergeCell ref="J6:Q6"/>
    <mergeCell ref="R6:Y6"/>
    <mergeCell ref="Z6:AG6"/>
    <mergeCell ref="AH6:AO6"/>
    <mergeCell ref="AP6:AW6"/>
    <mergeCell ref="AX6:BE6"/>
    <mergeCell ref="BF6:BM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" r:id="rId3" name="ComboBox4">
          <controlPr defaultSize="0" autoLine="0" linkedCell="BD21" listFillRange="_ProviderID" r:id="rId4">
            <anchor moveWithCells="1">
              <from>
                <xdr:col>24</xdr:col>
                <xdr:colOff>9525</xdr:colOff>
                <xdr:row>2</xdr:row>
                <xdr:rowOff>0</xdr:rowOff>
              </from>
              <to>
                <xdr:col>29</xdr:col>
                <xdr:colOff>95250</xdr:colOff>
                <xdr:row>3</xdr:row>
                <xdr:rowOff>66675</xdr:rowOff>
              </to>
            </anchor>
          </controlPr>
        </control>
      </mc:Choice>
      <mc:Fallback>
        <control shapeId="2052" r:id="rId3" name="ComboBox4"/>
      </mc:Fallback>
    </mc:AlternateContent>
    <mc:AlternateContent xmlns:mc="http://schemas.openxmlformats.org/markup-compatibility/2006">
      <mc:Choice Requires="x14">
        <control shapeId="2051" r:id="rId5" name="ComboBox3">
          <controlPr defaultSize="0" autoLine="0" linkedCell="O10" listFillRange="_ProductType" r:id="rId6">
            <anchor moveWithCells="1">
              <from>
                <xdr:col>16</xdr:col>
                <xdr:colOff>104775</xdr:colOff>
                <xdr:row>2</xdr:row>
                <xdr:rowOff>0</xdr:rowOff>
              </from>
              <to>
                <xdr:col>21</xdr:col>
                <xdr:colOff>123825</xdr:colOff>
                <xdr:row>3</xdr:row>
                <xdr:rowOff>95250</xdr:rowOff>
              </to>
            </anchor>
          </controlPr>
        </control>
      </mc:Choice>
      <mc:Fallback>
        <control shapeId="2051" r:id="rId5" name="ComboBox3"/>
      </mc:Fallback>
    </mc:AlternateContent>
    <mc:AlternateContent xmlns:mc="http://schemas.openxmlformats.org/markup-compatibility/2006">
      <mc:Choice Requires="x14">
        <control shapeId="2050" r:id="rId7" name="ComboBox2">
          <controlPr defaultSize="0" autoLine="0" autoPict="0" linkedCell="M10" listFillRange="_Section" r:id="rId8">
            <anchor moveWithCells="1">
              <from>
                <xdr:col>10</xdr:col>
                <xdr:colOff>152400</xdr:colOff>
                <xdr:row>2</xdr:row>
                <xdr:rowOff>0</xdr:rowOff>
              </from>
              <to>
                <xdr:col>13</xdr:col>
                <xdr:colOff>342900</xdr:colOff>
                <xdr:row>3</xdr:row>
                <xdr:rowOff>95250</xdr:rowOff>
              </to>
            </anchor>
          </controlPr>
        </control>
      </mc:Choice>
      <mc:Fallback>
        <control shapeId="2050" r:id="rId7" name="ComboBox2"/>
      </mc:Fallback>
    </mc:AlternateContent>
    <mc:AlternateContent xmlns:mc="http://schemas.openxmlformats.org/markup-compatibility/2006">
      <mc:Choice Requires="x14">
        <control shapeId="2049" r:id="rId9" name="ComboBox1">
          <controlPr defaultSize="0" autoLine="0" linkedCell="G10" listFillRange="_ComercialBrand" r:id="rId10">
            <anchor moveWithCells="1">
              <from>
                <xdr:col>4</xdr:col>
                <xdr:colOff>0</xdr:colOff>
                <xdr:row>2</xdr:row>
                <xdr:rowOff>9525</xdr:rowOff>
              </from>
              <to>
                <xdr:col>8</xdr:col>
                <xdr:colOff>228600</xdr:colOff>
                <xdr:row>3</xdr:row>
                <xdr:rowOff>95250</xdr:rowOff>
              </to>
            </anchor>
          </controlPr>
        </control>
      </mc:Choice>
      <mc:Fallback>
        <control shapeId="2049" r:id="rId9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33"/>
  <sheetViews>
    <sheetView workbookViewId="0">
      <selection activeCell="E31" sqref="E31"/>
    </sheetView>
  </sheetViews>
  <sheetFormatPr defaultRowHeight="15" x14ac:dyDescent="0.25"/>
  <cols>
    <col min="2" max="2" width="14.7109375" customWidth="1"/>
    <col min="8" max="8" width="10.5703125" customWidth="1"/>
  </cols>
  <sheetData>
    <row r="2" spans="2:10" x14ac:dyDescent="0.25">
      <c r="B2" s="49" t="s">
        <v>1</v>
      </c>
      <c r="C2" s="50"/>
      <c r="E2" s="49" t="s">
        <v>2</v>
      </c>
      <c r="F2" s="50"/>
      <c r="H2" s="49" t="s">
        <v>28</v>
      </c>
      <c r="I2" s="50"/>
    </row>
    <row r="3" spans="2:10" x14ac:dyDescent="0.25">
      <c r="B3" s="3" t="s">
        <v>12</v>
      </c>
      <c r="C3" s="3" t="s">
        <v>13</v>
      </c>
      <c r="E3" s="3" t="s">
        <v>12</v>
      </c>
      <c r="F3" s="3" t="s">
        <v>13</v>
      </c>
      <c r="H3" s="3" t="s">
        <v>12</v>
      </c>
      <c r="I3" s="3" t="s">
        <v>13</v>
      </c>
    </row>
    <row r="4" spans="2:10" x14ac:dyDescent="0.25">
      <c r="B4" s="2" t="s">
        <v>14</v>
      </c>
      <c r="C4" s="2">
        <v>1</v>
      </c>
      <c r="E4" s="2" t="s">
        <v>25</v>
      </c>
      <c r="F4" s="2">
        <v>1</v>
      </c>
      <c r="H4" s="2" t="s">
        <v>29</v>
      </c>
      <c r="I4" s="2">
        <v>0</v>
      </c>
    </row>
    <row r="5" spans="2:10" x14ac:dyDescent="0.25">
      <c r="B5" s="2" t="s">
        <v>15</v>
      </c>
      <c r="C5" s="2">
        <v>2</v>
      </c>
      <c r="E5" s="2" t="s">
        <v>26</v>
      </c>
      <c r="F5" s="2">
        <v>2</v>
      </c>
      <c r="H5" s="2" t="s">
        <v>30</v>
      </c>
      <c r="I5" s="2">
        <v>1</v>
      </c>
    </row>
    <row r="6" spans="2:10" x14ac:dyDescent="0.25">
      <c r="B6" s="2" t="s">
        <v>16</v>
      </c>
      <c r="C6" s="2">
        <v>4</v>
      </c>
      <c r="E6" s="2" t="s">
        <v>27</v>
      </c>
      <c r="F6" s="2">
        <v>3</v>
      </c>
      <c r="H6" s="2" t="s">
        <v>32</v>
      </c>
      <c r="I6" s="2">
        <v>2</v>
      </c>
    </row>
    <row r="7" spans="2:10" x14ac:dyDescent="0.25">
      <c r="B7" s="2" t="s">
        <v>17</v>
      </c>
      <c r="C7" s="2">
        <v>6</v>
      </c>
      <c r="H7" s="2" t="s">
        <v>31</v>
      </c>
      <c r="I7" s="2">
        <v>3</v>
      </c>
    </row>
    <row r="8" spans="2:10" x14ac:dyDescent="0.25">
      <c r="B8" s="2" t="s">
        <v>18</v>
      </c>
      <c r="C8" s="2">
        <v>7</v>
      </c>
    </row>
    <row r="9" spans="2:10" x14ac:dyDescent="0.25">
      <c r="B9" s="2" t="s">
        <v>19</v>
      </c>
      <c r="C9" s="2">
        <v>8</v>
      </c>
    </row>
    <row r="10" spans="2:10" x14ac:dyDescent="0.25">
      <c r="B10" s="2" t="s">
        <v>20</v>
      </c>
      <c r="C10" s="2">
        <v>11</v>
      </c>
      <c r="F10" s="5"/>
    </row>
    <row r="11" spans="2:10" x14ac:dyDescent="0.25">
      <c r="B11" s="2" t="s">
        <v>21</v>
      </c>
      <c r="C11" s="2">
        <v>14</v>
      </c>
    </row>
    <row r="12" spans="2:10" x14ac:dyDescent="0.25">
      <c r="B12" s="2" t="s">
        <v>22</v>
      </c>
      <c r="C12" s="2">
        <v>16</v>
      </c>
      <c r="J12" s="4"/>
    </row>
    <row r="13" spans="2:10" x14ac:dyDescent="0.25">
      <c r="B13" s="2" t="s">
        <v>23</v>
      </c>
      <c r="C13" s="2">
        <v>18</v>
      </c>
    </row>
    <row r="14" spans="2:10" x14ac:dyDescent="0.25">
      <c r="B14" s="2" t="s">
        <v>24</v>
      </c>
      <c r="C14" s="2">
        <v>63</v>
      </c>
    </row>
    <row r="17" spans="2:3" x14ac:dyDescent="0.25">
      <c r="B17" s="51" t="s">
        <v>7</v>
      </c>
      <c r="C17" s="52"/>
    </row>
    <row r="18" spans="2:3" x14ac:dyDescent="0.25">
      <c r="B18" s="3" t="s">
        <v>12</v>
      </c>
      <c r="C18" s="3" t="s">
        <v>13</v>
      </c>
    </row>
    <row r="19" spans="2:3" x14ac:dyDescent="0.25">
      <c r="B19" s="1" t="s">
        <v>34</v>
      </c>
      <c r="C19" s="1">
        <v>0</v>
      </c>
    </row>
    <row r="20" spans="2:3" x14ac:dyDescent="0.25">
      <c r="B20" s="1" t="s">
        <v>35</v>
      </c>
      <c r="C20" s="1">
        <v>1</v>
      </c>
    </row>
    <row r="21" spans="2:3" x14ac:dyDescent="0.25">
      <c r="B21" s="1" t="s">
        <v>36</v>
      </c>
      <c r="C21" s="1">
        <v>2</v>
      </c>
    </row>
    <row r="22" spans="2:3" x14ac:dyDescent="0.25">
      <c r="B22" s="1" t="s">
        <v>37</v>
      </c>
      <c r="C22" s="1">
        <v>3</v>
      </c>
    </row>
    <row r="23" spans="2:3" x14ac:dyDescent="0.25">
      <c r="B23" s="1" t="s">
        <v>38</v>
      </c>
      <c r="C23" s="1">
        <v>4</v>
      </c>
    </row>
    <row r="24" spans="2:3" x14ac:dyDescent="0.25">
      <c r="B24" s="1" t="s">
        <v>39</v>
      </c>
      <c r="C24" s="1">
        <v>5</v>
      </c>
    </row>
    <row r="25" spans="2:3" x14ac:dyDescent="0.25">
      <c r="B25" s="1" t="s">
        <v>40</v>
      </c>
      <c r="C25" s="1">
        <v>6</v>
      </c>
    </row>
    <row r="26" spans="2:3" x14ac:dyDescent="0.25">
      <c r="B26" s="1" t="s">
        <v>41</v>
      </c>
      <c r="C26" s="1">
        <v>7</v>
      </c>
    </row>
    <row r="27" spans="2:3" x14ac:dyDescent="0.25">
      <c r="B27" s="1" t="s">
        <v>42</v>
      </c>
      <c r="C27" s="1">
        <v>8</v>
      </c>
    </row>
    <row r="28" spans="2:3" x14ac:dyDescent="0.25">
      <c r="B28" s="1" t="s">
        <v>43</v>
      </c>
      <c r="C28" s="1">
        <v>9</v>
      </c>
    </row>
    <row r="29" spans="2:3" x14ac:dyDescent="0.25">
      <c r="B29" s="1" t="s">
        <v>44</v>
      </c>
      <c r="C29" s="1">
        <v>10</v>
      </c>
    </row>
    <row r="30" spans="2:3" x14ac:dyDescent="0.25">
      <c r="B30" s="1" t="s">
        <v>45</v>
      </c>
      <c r="C30" s="1">
        <v>11</v>
      </c>
    </row>
    <row r="31" spans="2:3" x14ac:dyDescent="0.25">
      <c r="B31" s="1" t="s">
        <v>46</v>
      </c>
      <c r="C31" s="1">
        <v>12</v>
      </c>
    </row>
    <row r="32" spans="2:3" x14ac:dyDescent="0.25">
      <c r="B32" s="1" t="s">
        <v>79</v>
      </c>
      <c r="C32" s="1">
        <v>15</v>
      </c>
    </row>
    <row r="33" spans="2:3" x14ac:dyDescent="0.25">
      <c r="B33" s="1" t="s">
        <v>47</v>
      </c>
      <c r="C33" s="1">
        <v>31</v>
      </c>
    </row>
  </sheetData>
  <mergeCells count="4">
    <mergeCell ref="B2:C2"/>
    <mergeCell ref="E2:F2"/>
    <mergeCell ref="H2:I2"/>
    <mergeCell ref="B17:C1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3BD2138B1E1F44A4F15B5703C774DA" ma:contentTypeVersion="8" ma:contentTypeDescription="Create a new document." ma:contentTypeScope="" ma:versionID="ccce65ca936268b26d4894952a7c556c">
  <xsd:schema xmlns:xsd="http://www.w3.org/2001/XMLSchema" xmlns:xs="http://www.w3.org/2001/XMLSchema" xmlns:p="http://schemas.microsoft.com/office/2006/metadata/properties" xmlns:ns2="5fc67752-c464-41b3-bba3-aa3e81c706a7" targetNamespace="http://schemas.microsoft.com/office/2006/metadata/properties" ma:root="true" ma:fieldsID="b0fa27ca2ba97e3f5c86e6f94c6e6e24" ns2:_="">
    <xsd:import namespace="5fc67752-c464-41b3-bba3-aa3e81c706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c67752-c464-41b3-bba3-aa3e81c706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C19E16-626D-4AAA-AC4A-1BCD5C350EC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BCF2C5-F854-4C37-887C-1019E219B7B6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terms/"/>
    <ds:schemaRef ds:uri="5fc67752-c464-41b3-bba3-aa3e81c706a7"/>
    <ds:schemaRef ds:uri="http://purl.org/dc/elements/1.1/"/>
    <ds:schemaRef ds:uri="http://schemas.microsoft.com/office/2006/metadata/properties"/>
    <ds:schemaRef ds:uri="http://purl.org/dc/dcmitype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D80E3C2-6AD7-4776-B69D-0E728BBC07B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372D4BB-2E8D-487A-A7D1-520F0EC62D1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VBA</vt:lpstr>
      <vt:lpstr>Aux</vt:lpstr>
      <vt:lpstr>_ComercialBrand</vt:lpstr>
      <vt:lpstr>_ProductType</vt:lpstr>
      <vt:lpstr>_ProviderID</vt:lpstr>
      <vt:lpstr>_Section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Robertas Petrauskas</cp:lastModifiedBy>
  <dcterms:created xsi:type="dcterms:W3CDTF">2019-04-14T10:10:32Z</dcterms:created>
  <dcterms:modified xsi:type="dcterms:W3CDTF">2020-04-10T14:31:22Z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0x0101008E3BD2138B1E1F44A4F15B5703C774DA</vt:lpwstr>
  </property>
  <property fmtid="{D5CDD505-2E9C-101B-9397-08002B2CF9AE}" pid="3" name="AuthorIds_UIVersion_512">
    <vt:lpwstr>6</vt:lpwstr>
  </property>
  <property fmtid="{D5CDD505-2E9C-101B-9397-08002B2CF9AE}" pid="4" name="AuthorIds_UIVersion_2560">
    <vt:lpwstr>6</vt:lpwstr>
  </property>
</Properties>
</file>